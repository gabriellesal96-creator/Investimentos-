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3225086-8825-4CF1-A4FE-C7193C2AF9F9}" xr6:coauthVersionLast="47" xr6:coauthVersionMax="47" xr10:uidLastSave="{00000000-0000-0000-0000-000000000000}"/>
  <bookViews>
    <workbookView xWindow="-120" yWindow="-120" windowWidth="20730" windowHeight="11310" xr2:uid="{C14E761F-7D8A-4E46-8590-970C98068BBE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Planilha1!$D$12</definedName>
    <definedName name="salario">Planilha1!$D$11</definedName>
    <definedName name="sugestao_investimento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D39" i="1" s="1"/>
  <c r="C40" i="1"/>
  <c r="C35" i="1"/>
  <c r="H7" i="2"/>
  <c r="A12" i="2"/>
  <c r="A13" i="2"/>
  <c r="A14" i="2"/>
  <c r="A15" i="2"/>
  <c r="A16" i="2"/>
  <c r="A17" i="2"/>
  <c r="A18" i="2"/>
  <c r="A19" i="2"/>
  <c r="A20" i="2"/>
  <c r="A21" i="2"/>
  <c r="A22" i="2"/>
  <c r="A23" i="2"/>
  <c r="A7" i="2"/>
  <c r="A8" i="2"/>
  <c r="A9" i="2"/>
  <c r="A10" i="2"/>
  <c r="A11" i="2"/>
  <c r="A6" i="2"/>
  <c r="C31" i="1"/>
  <c r="D36" i="1" s="1"/>
  <c r="D19" i="1"/>
  <c r="D20" i="1" s="1"/>
  <c r="C24" i="1"/>
  <c r="D24" i="1" s="1"/>
  <c r="C25" i="1"/>
  <c r="D25" i="1" s="1"/>
  <c r="C26" i="1"/>
  <c r="D26" i="1" s="1"/>
  <c r="C27" i="1"/>
  <c r="D27" i="1" s="1"/>
  <c r="C23" i="1"/>
  <c r="D23" i="1" s="1"/>
  <c r="D38" i="1" l="1"/>
  <c r="D35" i="1"/>
  <c r="D37" i="1"/>
  <c r="D40" i="1"/>
  <c r="D13" i="1"/>
  <c r="D41" i="1" l="1"/>
</calcChain>
</file>

<file path=xl/sharedStrings.xml><?xml version="1.0" encoding="utf-8"?>
<sst xmlns="http://schemas.openxmlformats.org/spreadsheetml/2006/main" count="71" uniqueCount="34">
  <si>
    <t>Quanto investir por mês?</t>
  </si>
  <si>
    <t>INVESTIMENTO MENSAL</t>
  </si>
  <si>
    <t>Por quantos anos?</t>
  </si>
  <si>
    <t>Taxa de Rendimentos?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</si>
  <si>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</si>
  <si>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</si>
  <si>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</si>
  <si>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</si>
  <si>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</si>
  <si>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</si>
  <si>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</si>
  <si>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</si>
  <si>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</si>
  <si>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</si>
  <si>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Sugestão de investimento</t>
  </si>
  <si>
    <t>DIVIDENDOS</t>
  </si>
  <si>
    <t>CONFIGURAÇÕES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</si>
  <si>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</si>
  <si>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</si>
  <si>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</si>
  <si>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</si>
  <si>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</si>
  <si>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</si>
  <si>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</si>
  <si>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</si>
  <si>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HIBRIDO</t>
  </si>
  <si>
    <t>FOFs</t>
  </si>
  <si>
    <t>DESENVOLVIMENTO</t>
  </si>
  <si>
    <t>HOTELARIA</t>
  </si>
  <si>
    <t>%</t>
  </si>
  <si>
    <t>CHAVE</t>
  </si>
  <si>
    <t>Moderado</t>
  </si>
  <si>
    <t>Agressivo</t>
  </si>
  <si>
    <t>Conservador-PAPEL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</si>
</sst>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egoe MDL2 Assets"/>
      <family val="1"/>
    </font>
    <font>
      <b/>
      <i/>
      <sz val="18"/>
      <color theme="0"/>
      <name val="Segoe MDL2 Assets"/>
      <family val="1"/>
    </font>
    <font>
      <b/>
      <sz val="20"/>
      <color theme="0"/>
      <name val="Segoe MDL2 Assets"/>
      <family val="1"/>
    </font>
    <font>
      <b/>
      <sz val="18"/>
      <color theme="0"/>
      <name val="Segoe MDL2 Assets"/>
      <family val="1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1" fillId="5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10" fontId="0" fillId="0" borderId="0" xfId="0" applyNumberFormat="1"/>
    <xf numFmtId="0" fontId="3" fillId="2" borderId="3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left" indent="3"/>
    </xf>
    <xf numFmtId="164" fontId="0" fillId="0" borderId="14" xfId="0" applyNumberFormat="1" applyBorder="1" applyAlignment="1">
      <alignment horizontal="center" vertical="center"/>
    </xf>
    <xf numFmtId="0" fontId="4" fillId="4" borderId="5" xfId="0" applyFont="1" applyFill="1" applyBorder="1" applyAlignment="1">
      <alignment horizontal="left" indent="3"/>
    </xf>
    <xf numFmtId="9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" fillId="4" borderId="14" xfId="0" applyNumberFormat="1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10" fontId="1" fillId="4" borderId="6" xfId="0" applyNumberFormat="1" applyFont="1" applyFill="1" applyBorder="1" applyAlignment="1">
      <alignment horizontal="center"/>
    </xf>
    <xf numFmtId="8" fontId="1" fillId="4" borderId="6" xfId="0" applyNumberFormat="1" applyFont="1" applyFill="1" applyBorder="1" applyAlignment="1">
      <alignment horizontal="center"/>
    </xf>
    <xf numFmtId="8" fontId="1" fillId="4" borderId="9" xfId="0" applyNumberFormat="1" applyFont="1" applyFill="1" applyBorder="1" applyAlignment="1">
      <alignment horizontal="center"/>
    </xf>
    <xf numFmtId="8" fontId="0" fillId="4" borderId="13" xfId="0" applyNumberFormat="1" applyFill="1" applyBorder="1" applyAlignment="1">
      <alignment horizontal="center"/>
    </xf>
    <xf numFmtId="8" fontId="0" fillId="4" borderId="14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0" fontId="4" fillId="4" borderId="7" xfId="0" applyFont="1" applyFill="1" applyBorder="1" applyAlignment="1">
      <alignment horizontal="left" indent="3"/>
    </xf>
    <xf numFmtId="8" fontId="0" fillId="4" borderId="11" xfId="0" applyNumberFormat="1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0" fontId="11" fillId="5" borderId="0" xfId="2" applyBorder="1" applyAlignment="1">
      <alignment horizontal="left" indent="3"/>
    </xf>
    <xf numFmtId="0" fontId="11" fillId="5" borderId="0" xfId="2"/>
    <xf numFmtId="0" fontId="0" fillId="4" borderId="0" xfId="0" applyFill="1"/>
    <xf numFmtId="0" fontId="1" fillId="4" borderId="0" xfId="0" applyFont="1" applyFill="1"/>
    <xf numFmtId="164" fontId="1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9" fontId="0" fillId="0" borderId="16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9" fontId="0" fillId="0" borderId="0" xfId="1" applyFont="1"/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top"/>
    </xf>
    <xf numFmtId="0" fontId="4" fillId="4" borderId="12" xfId="0" applyFont="1" applyFill="1" applyBorder="1" applyAlignment="1">
      <alignment horizontal="left" indent="3"/>
    </xf>
    <xf numFmtId="0" fontId="4" fillId="4" borderId="15" xfId="0" applyFont="1" applyFill="1" applyBorder="1" applyAlignment="1">
      <alignment horizontal="left" indent="3"/>
    </xf>
    <xf numFmtId="0" fontId="4" fillId="4" borderId="5" xfId="0" applyFont="1" applyFill="1" applyBorder="1" applyAlignment="1">
      <alignment horizontal="left" indent="3"/>
    </xf>
    <xf numFmtId="0" fontId="4" fillId="4" borderId="4" xfId="0" applyFont="1" applyFill="1" applyBorder="1" applyAlignment="1">
      <alignment horizontal="left" indent="3"/>
    </xf>
    <xf numFmtId="0" fontId="6" fillId="4" borderId="7" xfId="0" applyFont="1" applyFill="1" applyBorder="1" applyAlignment="1">
      <alignment horizontal="left" indent="3"/>
    </xf>
    <xf numFmtId="0" fontId="6" fillId="4" borderId="8" xfId="0" applyFont="1" applyFill="1" applyBorder="1" applyAlignment="1">
      <alignment horizontal="left" indent="3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 indent="3"/>
    </xf>
    <xf numFmtId="0" fontId="5" fillId="4" borderId="4" xfId="0" applyFont="1" applyFill="1" applyBorder="1" applyAlignment="1">
      <alignment horizontal="left" indent="3"/>
    </xf>
    <xf numFmtId="0" fontId="5" fillId="4" borderId="7" xfId="0" applyFont="1" applyFill="1" applyBorder="1" applyAlignment="1">
      <alignment horizontal="left" indent="3"/>
    </xf>
    <xf numFmtId="0" fontId="5" fillId="4" borderId="8" xfId="0" applyFont="1" applyFill="1" applyBorder="1" applyAlignment="1">
      <alignment horizontal="left" indent="3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495299</xdr:colOff>
      <xdr:row>0</xdr:row>
      <xdr:rowOff>0</xdr:rowOff>
    </xdr:from>
    <xdr:to>
      <xdr:col>4</xdr:col>
      <xdr:colOff>95250</xdr:colOff>
      <xdr:row>7</xdr:row>
      <xdr:rowOff>174428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A3E5AB-CAFF-41B9-9580-DCA8BF339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495299" y="0"/>
          <a:ext cx="7000876" cy="1507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F781-787A-4D87-B500-FD01A3B8D5DC}">
  <dimension ref="A4:J41"/>
  <sheetViews>
    <sheetView showGridLines="0" tabSelected="1" topLeftCell="A34" workbookViewId="0">
      <selection activeCell="B45" sqref="B45"/>
    </sheetView>
  </sheetViews>
  <sheetFormatPr defaultRowHeight="15" x14ac:dyDescent="0.25"/>
  <cols>
    <col min="2" max="2" width="47.140625" customWidth="1"/>
    <col min="3" max="3" width="37.42578125" customWidth="1"/>
    <col min="4" max="4" width="17.28515625" bestFit="1" customWidth="1"/>
    <col min="5" max="5" width="11.7109375" customWidth="1"/>
    <col min="6" max="6" width="24.42578125" bestFit="1" customWidth="1"/>
    <col min="7" max="7" width="12.140625" bestFit="1" customWidth="1"/>
    <col min="8" max="8" width="24.42578125" bestFit="1" customWidth="1"/>
    <col min="9" max="9" width="12.140625" bestFit="1" customWidth="1"/>
  </cols>
  <sheetData>
    <row r="4" spans="2:10" x14ac:dyDescent="0.25">
      <c r="J4" s="2"/>
    </row>
    <row r="9" spans="2:10" ht="15.75" thickBot="1" x14ac:dyDescent="0.3"/>
    <row r="10" spans="2:10" ht="22.5" thickBot="1" x14ac:dyDescent="0.3">
      <c r="B10" s="40" t="s">
        <v>16</v>
      </c>
      <c r="C10" s="41"/>
      <c r="D10" s="42"/>
    </row>
    <row r="11" spans="2:10" ht="16.5" thickBot="1" x14ac:dyDescent="0.3">
      <c r="B11" s="43" t="s">
        <v>12</v>
      </c>
      <c r="C11" s="44"/>
      <c r="D11" s="5">
        <v>2000</v>
      </c>
    </row>
    <row r="12" spans="2:10" ht="16.5" thickBot="1" x14ac:dyDescent="0.3">
      <c r="B12" s="45" t="s">
        <v>13</v>
      </c>
      <c r="C12" s="46"/>
      <c r="D12" s="7">
        <v>0.01</v>
      </c>
    </row>
    <row r="13" spans="2:10" ht="18" thickBot="1" x14ac:dyDescent="0.3">
      <c r="B13" s="47" t="s">
        <v>14</v>
      </c>
      <c r="C13" s="48"/>
      <c r="D13" s="8">
        <f>D11*30%</f>
        <v>600</v>
      </c>
    </row>
    <row r="14" spans="2:10" ht="15" customHeight="1" thickBot="1" x14ac:dyDescent="0.3"/>
    <row r="15" spans="2:10" ht="26.25" thickBot="1" x14ac:dyDescent="0.3">
      <c r="B15" s="49" t="s">
        <v>1</v>
      </c>
      <c r="C15" s="50"/>
      <c r="D15" s="51"/>
    </row>
    <row r="16" spans="2:10" ht="16.5" thickBot="1" x14ac:dyDescent="0.3">
      <c r="B16" s="43" t="s">
        <v>0</v>
      </c>
      <c r="C16" s="44"/>
      <c r="D16" s="9">
        <v>500</v>
      </c>
    </row>
    <row r="17" spans="1:4" ht="16.5" thickBot="1" x14ac:dyDescent="0.3">
      <c r="B17" s="45" t="s">
        <v>2</v>
      </c>
      <c r="C17" s="46"/>
      <c r="D17" s="10">
        <v>5</v>
      </c>
    </row>
    <row r="18" spans="1:4" ht="16.5" thickBot="1" x14ac:dyDescent="0.3">
      <c r="B18" s="45" t="s">
        <v>3</v>
      </c>
      <c r="C18" s="46"/>
      <c r="D18" s="11">
        <v>1.0789999999999999E-2</v>
      </c>
    </row>
    <row r="19" spans="1:4" ht="16.5" thickBot="1" x14ac:dyDescent="0.3">
      <c r="B19" s="52" t="s">
        <v>4</v>
      </c>
      <c r="C19" s="53"/>
      <c r="D19" s="12">
        <f>FV(taxa_mensal,qtd_anos*12,aporte*-1)</f>
        <v>41888.456999243819</v>
      </c>
    </row>
    <row r="20" spans="1:4" ht="16.5" thickBot="1" x14ac:dyDescent="0.3">
      <c r="B20" s="54" t="s">
        <v>5</v>
      </c>
      <c r="C20" s="55"/>
      <c r="D20" s="13">
        <f>patrimonio*Rendimento_carteira</f>
        <v>418.88456999243817</v>
      </c>
    </row>
    <row r="21" spans="1:4" ht="15.75" thickBot="1" x14ac:dyDescent="0.3"/>
    <row r="22" spans="1:4" ht="24" thickBot="1" x14ac:dyDescent="0.3">
      <c r="B22" s="38" t="s">
        <v>6</v>
      </c>
      <c r="C22" s="39"/>
      <c r="D22" s="3" t="s">
        <v>15</v>
      </c>
    </row>
    <row r="23" spans="1:4" ht="16.5" thickBot="1" x14ac:dyDescent="0.3">
      <c r="A23" s="1">
        <v>2</v>
      </c>
      <c r="B23" s="4" t="s">
        <v>7</v>
      </c>
      <c r="C23" s="14">
        <f>FV($D$18,$A23*12,$D$16*-1)</f>
        <v>13613.813648822608</v>
      </c>
      <c r="D23" s="15">
        <f>C23*Rendimento_carteira</f>
        <v>136.13813648822608</v>
      </c>
    </row>
    <row r="24" spans="1:4" ht="16.5" thickBot="1" x14ac:dyDescent="0.3">
      <c r="A24" s="1">
        <v>5</v>
      </c>
      <c r="B24" s="6" t="s">
        <v>8</v>
      </c>
      <c r="C24" s="16">
        <f>FV($D$18,$A24*12,$D$16*-1)</f>
        <v>41888.456999243819</v>
      </c>
      <c r="D24" s="17">
        <f>C24*Rendimento_carteira</f>
        <v>418.88456999243817</v>
      </c>
    </row>
    <row r="25" spans="1:4" ht="16.5" thickBot="1" x14ac:dyDescent="0.3">
      <c r="A25" s="1">
        <v>10</v>
      </c>
      <c r="B25" s="6" t="s">
        <v>9</v>
      </c>
      <c r="C25" s="16">
        <f>FV($D$18,$A25*12,$D$16*-1)</f>
        <v>121642.1062650861</v>
      </c>
      <c r="D25" s="17">
        <f>C25*Rendimento_carteira</f>
        <v>1216.4210626508609</v>
      </c>
    </row>
    <row r="26" spans="1:4" ht="16.5" thickBot="1" x14ac:dyDescent="0.3">
      <c r="A26" s="1">
        <v>20</v>
      </c>
      <c r="B26" s="6" t="s">
        <v>10</v>
      </c>
      <c r="C26" s="16">
        <f>FV($D$18,$A26*12,$D$16*-1)</f>
        <v>562599.20004854025</v>
      </c>
      <c r="D26" s="17">
        <f>C26*Rendimento_carteira</f>
        <v>5625.992000485403</v>
      </c>
    </row>
    <row r="27" spans="1:4" ht="16.5" thickBot="1" x14ac:dyDescent="0.3">
      <c r="A27" s="1">
        <v>30</v>
      </c>
      <c r="B27" s="18" t="s">
        <v>11</v>
      </c>
      <c r="C27" s="19">
        <f>FV($D$18,$A27*12,$D$16*-1)</f>
        <v>2161084.8275023573</v>
      </c>
      <c r="D27" s="20">
        <f>C27*Rendimento_carteira</f>
        <v>21610.848275023574</v>
      </c>
    </row>
    <row r="30" spans="1:4" x14ac:dyDescent="0.25">
      <c r="B30" s="21" t="s">
        <v>17</v>
      </c>
      <c r="C30" s="22" t="s">
        <v>18</v>
      </c>
      <c r="D30" s="22"/>
    </row>
    <row r="31" spans="1:4" x14ac:dyDescent="0.25">
      <c r="B31" s="24" t="s">
        <v>19</v>
      </c>
      <c r="C31" s="25">
        <f>aporte</f>
        <v>500</v>
      </c>
      <c r="D31" s="23"/>
    </row>
    <row r="34" spans="2:4" x14ac:dyDescent="0.25">
      <c r="B34" s="30" t="s">
        <v>20</v>
      </c>
      <c r="C34" s="30" t="s">
        <v>21</v>
      </c>
      <c r="D34" s="30" t="s">
        <v>22</v>
      </c>
    </row>
    <row r="35" spans="2:4" x14ac:dyDescent="0.25">
      <c r="B35" s="27" t="s">
        <v>23</v>
      </c>
      <c r="C35" s="28">
        <f>VLOOKUP($C$30&amp;"-"&amp;B35,Planilha2!$A$6:$D$23,4,)</f>
        <v>0.3</v>
      </c>
      <c r="D35" s="29">
        <f>C35*$C$31</f>
        <v>150</v>
      </c>
    </row>
    <row r="36" spans="2:4" x14ac:dyDescent="0.25">
      <c r="B36" s="27" t="s">
        <v>24</v>
      </c>
      <c r="C36" s="28">
        <f>VLOOKUP($C$30&amp;"-"&amp;B36,Planilha2!$A$6:$D$23,4,)</f>
        <v>0.5</v>
      </c>
      <c r="D36" s="29">
        <f t="shared" ref="D36:D40" si="0">C36*$C$31</f>
        <v>250</v>
      </c>
    </row>
    <row r="37" spans="2:4" x14ac:dyDescent="0.25">
      <c r="B37" s="27" t="s">
        <v>25</v>
      </c>
      <c r="C37" s="28">
        <f>VLOOKUP($C$30&amp;"-"&amp;B37,Planilha2!$A$6:$D$23,4,)</f>
        <v>0.1</v>
      </c>
      <c r="D37" s="29">
        <f t="shared" si="0"/>
        <v>50</v>
      </c>
    </row>
    <row r="38" spans="2:4" x14ac:dyDescent="0.25">
      <c r="B38" s="27" t="s">
        <v>26</v>
      </c>
      <c r="C38" s="28">
        <f>VLOOKUP($C$30&amp;"-"&amp;B38,Planilha2!$A$6:$D$23,4,)</f>
        <v>0.1</v>
      </c>
      <c r="D38" s="29">
        <f t="shared" si="0"/>
        <v>50</v>
      </c>
    </row>
    <row r="39" spans="2:4" x14ac:dyDescent="0.25">
      <c r="B39" s="27" t="s">
        <v>27</v>
      </c>
      <c r="C39" s="28">
        <f>VLOOKUP($C$30&amp;"-"&amp;B39,Planilha2!$A$6:$D$23,4,)</f>
        <v>0</v>
      </c>
      <c r="D39" s="29">
        <f t="shared" si="0"/>
        <v>0</v>
      </c>
    </row>
    <row r="40" spans="2:4" x14ac:dyDescent="0.25">
      <c r="B40" s="27" t="s">
        <v>28</v>
      </c>
      <c r="C40" s="28">
        <f>VLOOKUP($C$30&amp;"-"&amp;B40,Planilha2!$A$6:$D$23,4,)</f>
        <v>0</v>
      </c>
      <c r="D40" s="29">
        <f t="shared" si="0"/>
        <v>0</v>
      </c>
    </row>
    <row r="41" spans="2:4" x14ac:dyDescent="0.25">
      <c r="B41" s="30"/>
      <c r="C41" s="30"/>
      <c r="D41" s="31">
        <f>SUM(D35:D40)</f>
        <v>500</v>
      </c>
    </row>
  </sheetData>
  <mergeCells count="11">
    <mergeCell ref="B22:C22"/>
    <mergeCell ref="B10:D10"/>
    <mergeCell ref="B11:C11"/>
    <mergeCell ref="B12:C12"/>
    <mergeCell ref="B13:C13"/>
    <mergeCell ref="B15:D15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53C48BD1-F6C7-4619-B630-642829D5ACF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71D8-EAE3-4DE5-BED7-ABEBF37848B4}">
  <dimension ref="A5:H23"/>
  <sheetViews>
    <sheetView workbookViewId="0">
      <selection activeCell="H7" sqref="H7"/>
    </sheetView>
  </sheetViews>
  <sheetFormatPr defaultRowHeight="15" x14ac:dyDescent="0.25"/>
  <cols>
    <col min="1" max="1" width="31.28515625" customWidth="1"/>
    <col min="2" max="2" width="13.5703125" customWidth="1"/>
    <col min="3" max="3" width="19" bestFit="1" customWidth="1"/>
    <col min="7" max="7" width="20.7109375" customWidth="1"/>
    <col min="8" max="8" width="12.140625" bestFit="1" customWidth="1"/>
  </cols>
  <sheetData>
    <row r="5" spans="1:8" x14ac:dyDescent="0.25">
      <c r="A5" s="26" t="s">
        <v>30</v>
      </c>
      <c r="B5" s="26" t="s">
        <v>17</v>
      </c>
      <c r="C5" s="26" t="s">
        <v>20</v>
      </c>
      <c r="D5" s="26" t="s">
        <v>29</v>
      </c>
    </row>
    <row r="6" spans="1:8" x14ac:dyDescent="0.25">
      <c r="A6" s="35" t="str">
        <f>$B$6&amp;"-"&amp;C6</f>
        <v>Conservador-PAPEL</v>
      </c>
      <c r="B6" t="s">
        <v>18</v>
      </c>
      <c r="C6" s="27" t="s">
        <v>23</v>
      </c>
      <c r="D6" s="28">
        <v>0.3</v>
      </c>
      <c r="H6" t="s">
        <v>29</v>
      </c>
    </row>
    <row r="7" spans="1:8" x14ac:dyDescent="0.25">
      <c r="A7" s="35" t="str">
        <f t="shared" ref="A7:A23" si="0">$B$6&amp;"-"&amp;C7</f>
        <v>Conservador-TIJOLO</v>
      </c>
      <c r="B7" t="s">
        <v>18</v>
      </c>
      <c r="C7" s="27" t="s">
        <v>24</v>
      </c>
      <c r="D7" s="28">
        <v>0.5</v>
      </c>
      <c r="G7" s="22" t="s">
        <v>33</v>
      </c>
      <c r="H7" s="37" t="str">
        <f>VLOOKUP(G7,$A:$D,2,)</f>
        <v>Conservador</v>
      </c>
    </row>
    <row r="8" spans="1:8" x14ac:dyDescent="0.25">
      <c r="A8" s="35" t="str">
        <f t="shared" si="0"/>
        <v>Conservador-HIBRIDO</v>
      </c>
      <c r="B8" t="s">
        <v>18</v>
      </c>
      <c r="C8" s="27" t="s">
        <v>25</v>
      </c>
      <c r="D8" s="28">
        <v>0.1</v>
      </c>
    </row>
    <row r="9" spans="1:8" x14ac:dyDescent="0.25">
      <c r="A9" s="35" t="str">
        <f t="shared" si="0"/>
        <v>Conservador-FOFs</v>
      </c>
      <c r="B9" t="s">
        <v>18</v>
      </c>
      <c r="C9" s="27" t="s">
        <v>26</v>
      </c>
      <c r="D9" s="28">
        <v>0.1</v>
      </c>
    </row>
    <row r="10" spans="1:8" x14ac:dyDescent="0.25">
      <c r="A10" s="35" t="str">
        <f t="shared" si="0"/>
        <v>Conservador-DESENVOLVIMENTO</v>
      </c>
      <c r="B10" t="s">
        <v>18</v>
      </c>
      <c r="C10" s="27" t="s">
        <v>27</v>
      </c>
      <c r="D10" s="28">
        <v>0</v>
      </c>
    </row>
    <row r="11" spans="1:8" ht="15.75" thickBot="1" x14ac:dyDescent="0.3">
      <c r="A11" s="36" t="str">
        <f t="shared" si="0"/>
        <v>Conservador-HOTELARIA</v>
      </c>
      <c r="B11" s="33" t="s">
        <v>18</v>
      </c>
      <c r="C11" s="32" t="s">
        <v>28</v>
      </c>
      <c r="D11" s="34">
        <v>0</v>
      </c>
      <c r="G11" s="35"/>
    </row>
    <row r="12" spans="1:8" x14ac:dyDescent="0.25">
      <c r="A12" t="str">
        <f>$B$6&amp;"-"&amp;C12</f>
        <v>Conservador-PAPEL</v>
      </c>
      <c r="B12" t="s">
        <v>31</v>
      </c>
      <c r="C12" s="27" t="s">
        <v>23</v>
      </c>
      <c r="D12" s="28">
        <v>0.32</v>
      </c>
    </row>
    <row r="13" spans="1:8" x14ac:dyDescent="0.25">
      <c r="A13" t="str">
        <f t="shared" si="0"/>
        <v>Conservador-TIJOLO</v>
      </c>
      <c r="B13" t="s">
        <v>31</v>
      </c>
      <c r="C13" s="27" t="s">
        <v>24</v>
      </c>
      <c r="D13" s="28">
        <v>0.4</v>
      </c>
    </row>
    <row r="14" spans="1:8" x14ac:dyDescent="0.25">
      <c r="A14" t="str">
        <f t="shared" si="0"/>
        <v>Conservador-HIBRIDO</v>
      </c>
      <c r="B14" t="s">
        <v>31</v>
      </c>
      <c r="C14" s="27" t="s">
        <v>25</v>
      </c>
      <c r="D14" s="28">
        <v>0.08</v>
      </c>
    </row>
    <row r="15" spans="1:8" x14ac:dyDescent="0.25">
      <c r="A15" t="str">
        <f t="shared" si="0"/>
        <v>Conservador-FOFs</v>
      </c>
      <c r="B15" t="s">
        <v>31</v>
      </c>
      <c r="C15" s="27" t="s">
        <v>26</v>
      </c>
      <c r="D15" s="28">
        <v>0.1</v>
      </c>
    </row>
    <row r="16" spans="1:8" x14ac:dyDescent="0.25">
      <c r="A16" t="str">
        <f t="shared" si="0"/>
        <v>Conservador-DESENVOLVIMENTO</v>
      </c>
      <c r="B16" t="s">
        <v>31</v>
      </c>
      <c r="C16" s="27" t="s">
        <v>27</v>
      </c>
      <c r="D16" s="28">
        <v>0.1</v>
      </c>
    </row>
    <row r="17" spans="1:4" ht="15.75" thickBot="1" x14ac:dyDescent="0.3">
      <c r="A17" s="33" t="str">
        <f t="shared" si="0"/>
        <v>Conservador-HOTELARIA</v>
      </c>
      <c r="B17" s="33" t="s">
        <v>31</v>
      </c>
      <c r="C17" s="32" t="s">
        <v>28</v>
      </c>
      <c r="D17" s="34">
        <v>0.1</v>
      </c>
    </row>
    <row r="18" spans="1:4" x14ac:dyDescent="0.25">
      <c r="A18" t="str">
        <f t="shared" si="0"/>
        <v>Conservador-PAPEL</v>
      </c>
      <c r="B18" t="s">
        <v>32</v>
      </c>
      <c r="C18" s="27" t="s">
        <v>23</v>
      </c>
      <c r="D18" s="28">
        <v>0.5</v>
      </c>
    </row>
    <row r="19" spans="1:4" x14ac:dyDescent="0.25">
      <c r="A19" t="str">
        <f t="shared" si="0"/>
        <v>Conservador-TIJOLO</v>
      </c>
      <c r="B19" t="s">
        <v>32</v>
      </c>
      <c r="C19" s="27" t="s">
        <v>24</v>
      </c>
      <c r="D19" s="28">
        <v>0.1</v>
      </c>
    </row>
    <row r="20" spans="1:4" x14ac:dyDescent="0.25">
      <c r="A20" t="str">
        <f t="shared" si="0"/>
        <v>Conservador-HIBRIDO</v>
      </c>
      <c r="B20" t="s">
        <v>32</v>
      </c>
      <c r="C20" s="27" t="s">
        <v>25</v>
      </c>
      <c r="D20" s="28">
        <v>0.05</v>
      </c>
    </row>
    <row r="21" spans="1:4" x14ac:dyDescent="0.25">
      <c r="A21" t="str">
        <f t="shared" si="0"/>
        <v>Conservador-FOFs</v>
      </c>
      <c r="B21" t="s">
        <v>32</v>
      </c>
      <c r="C21" s="27" t="s">
        <v>26</v>
      </c>
      <c r="D21" s="28">
        <v>0.05</v>
      </c>
    </row>
    <row r="22" spans="1:4" x14ac:dyDescent="0.25">
      <c r="A22" t="str">
        <f t="shared" si="0"/>
        <v>Conservador-DESENVOLVIMENTO</v>
      </c>
      <c r="B22" t="s">
        <v>32</v>
      </c>
      <c r="C22" s="27" t="s">
        <v>27</v>
      </c>
      <c r="D22" s="28">
        <v>0.2</v>
      </c>
    </row>
    <row r="23" spans="1:4" x14ac:dyDescent="0.25">
      <c r="A23" t="str">
        <f t="shared" si="0"/>
        <v>Conservador-HOTELARIA</v>
      </c>
      <c r="B23" t="s">
        <v>32</v>
      </c>
      <c r="C23" s="27" t="s">
        <v>28</v>
      </c>
      <c r="D23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Sueli Alves</dc:creator>
  <cp:lastModifiedBy>Gabrielle Sueli Alves</cp:lastModifiedBy>
  <dcterms:created xsi:type="dcterms:W3CDTF">2026-01-24T11:10:47Z</dcterms:created>
  <dcterms:modified xsi:type="dcterms:W3CDTF">2026-01-29T23:59:15Z</dcterms:modified>
</cp:coreProperties>
</file>